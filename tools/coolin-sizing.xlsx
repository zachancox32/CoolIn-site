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izing" sheetId="1" r:id="rId1"/>
  </sheets>
  <calcPr calcId="0" fullCalcOnLoad="1"/>
</workbook>
</file>

<file path=xl/styles.xml><?xml version="1.0" encoding="utf-8"?>
<styleSheet xmlns="http://schemas.openxmlformats.org/spreadsheetml/2006/main">
  <numFmts count="1">
    <numFmt numFmtId="164" formatCode="&quot;GBP &quot;#,##0"/>
  </numFmts>
  <fonts count="6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8"/>
      <color rgb="FF0E6E96"/>
      <name val="Calibri"/>
    </font>
    <font>
      <sz val="10"/>
      <color rgb="FF5A7080"/>
      <name val="Calibri"/>
    </font>
    <font>
      <b/>
      <sz val="12"/>
      <color rgb="FF0D2B3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D2B38"/>
        <bgColor indexed="64"/>
      </patternFill>
    </fill>
    <fill>
      <patternFill patternType="solid">
        <fgColor rgb="FFFFF4D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6E1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1" xfId="0" applyFill="1" applyBorder="1"/>
    <xf numFmtId="0" fontId="3" fillId="0" borderId="0" xfId="0" applyFont="1"/>
    <xf numFmtId="0" fontId="4" fillId="0" borderId="0" xfId="0" applyFont="1"/>
    <xf numFmtId="164" fontId="5" fillId="0" borderId="0" xfId="0" applyNumberFormat="1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7" customWidth="1"/>
    <col min="2" max="2" width="15" customWidth="1"/>
    <col min="3" max="3" width="34" customWidth="1"/>
    <col min="4" max="8" width="12" customWidth="1"/>
    <col min="9" max="12" width="12" customWidth="1"/>
  </cols>
  <sheetData>
    <row r="1">
      <c r="A1" s="1" t="inlineStr">
        <is>
          <t>CoolIn rough sizing</t>
        </is>
      </c>
    </row>
    <row r="2">
      <c r="A2" s="5" t="inlineStr">
        <is>
          <t>Same arithmetic as the calculator on cool-in.co.uk. Rough only, the survey decides.</t>
        </is>
      </c>
    </row>
    <row r="3"/>
    <row r="4">
      <c r="A4" s="2" t="inlineStr">
        <is>
          <t>ONE ROOM</t>
        </is>
      </c>
      <c r="B4" s="2"/>
      <c r="C4" s="2" t="inlineStr">
        <is>
          <t>change the middle column</t>
        </is>
      </c>
    </row>
    <row r="5">
      <c r="A5" s="1" t="inlineStr">
        <is>
          <t>Width m</t>
        </is>
      </c>
      <c r="B5" s="3">
        <v>3.6</v>
      </c>
    </row>
    <row r="6">
      <c r="A6" s="1" t="inlineStr">
        <is>
          <t>Length m</t>
        </is>
      </c>
      <c r="B6" s="3">
        <v>4.2</v>
      </c>
    </row>
    <row r="7">
      <c r="A7" s="1" t="inlineStr">
        <is>
          <t>Ceiling</t>
        </is>
      </c>
      <c r="B7" s="3" t="inlineStr">
        <is>
          <t>Standard</t>
        </is>
      </c>
      <c r="C7" s="5" t="inlineStr">
        <is>
          <t>Standard / High / Vaulted</t>
        </is>
      </c>
    </row>
    <row r="8">
      <c r="A8" s="1" t="inlineStr">
        <is>
          <t>Glazing</t>
        </is>
      </c>
      <c r="B8" s="3" t="inlineStr">
        <is>
          <t>Average</t>
        </is>
      </c>
      <c r="C8" s="5" t="inlineStr">
        <is>
          <t>Average / Shaded / Sunny / Bifolds</t>
        </is>
      </c>
    </row>
    <row r="9">
      <c r="A9" s="1" t="inlineStr">
        <is>
          <t>Roof room</t>
        </is>
      </c>
      <c r="B9" s="3" t="inlineStr">
        <is>
          <t>n</t>
        </is>
      </c>
      <c r="C9" s="5" t="inlineStr">
        <is>
          <t>y or n</t>
        </is>
      </c>
    </row>
    <row r="10">
      <c r="A10" s="1" t="inlineStr">
        <is>
          <t>People</t>
        </is>
      </c>
      <c r="B10" s="3">
        <v>2</v>
      </c>
    </row>
    <row r="11">
      <c r="A11" s="1" t="inlineStr">
        <is>
          <t>Room use</t>
        </is>
      </c>
      <c r="B11" s="3" t="inlineStr">
        <is>
          <t>Bedroom</t>
        </is>
      </c>
      <c r="C11" s="5" t="inlineStr">
        <is>
          <t>Bedroom / Kitchen / Office / Gym / Server</t>
        </is>
      </c>
    </row>
    <row r="12">
      <c r="A12" s="1" t="inlineStr">
        <is>
          <t>Load kW</t>
        </is>
      </c>
      <c r="B12" s="0">
        <f>ROUND((B5*B6*0.155)*IF(B7="High",1.12,IF(B7="Vaulted",1.26,1))*IF(B8="Shaded",0.95,IF(B8="Sunny",1.2,IF(B8="Bifolds",1.35,1)))*IF(LOWER(B9)="y",1.2,1)+MAX(0,B10-2)*0.1+IF(B11="Kitchen",0.5,IF(B11="Office",0.4,IF(B11="Gym",0.9,IF(B11="Server",1.4,0)))),2)</f>
      </c>
    </row>
    <row r="13">
      <c r="A13" s="1" t="inlineStr">
        <is>
          <t>FIT THIS UNIT</t>
        </is>
      </c>
      <c r="B13" s="4">
        <f>IF(B12&lt;=2.0,2.0,IF(B12&lt;=2.5,2.5,IF(B12&lt;=3.5,3.5,IF(B12&lt;=5.0,5.0,IF(B12&lt;=6.0,6.0,IF(B12&lt;=7.1,7.1,"two units"))))))</f>
      </c>
      <c r="C13" s="5" t="inlineStr">
        <is>
          <t>kW</t>
        </is>
      </c>
    </row>
    <row r="14">
      <c r="A14" s="1" t="inlineStr">
        <is>
          <t>Guide price</t>
        </is>
      </c>
      <c r="B14" s="6">
        <f>IF(B12&lt;=2.0,1650,IF(B12&lt;=2.5,1650,IF(B12&lt;=3.5,1995,IF(B12&lt;=5.0,2280,IF(B12&lt;=6.0,2650,IF(B12&lt;=7.1,2950,""))))))</f>
      </c>
      <c r="C14" s="5" t="inlineStr">
        <is>
          <t>installed, one room</t>
        </is>
      </c>
    </row>
    <row r="15"/>
    <row r="16">
      <c r="A16" s="2" t="inlineStr">
        <is>
          <t>WHOLE HOUSE</t>
        </is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1" t="inlineStr">
        <is>
          <t>Room</t>
        </is>
      </c>
      <c r="B17" s="1" t="inlineStr">
        <is>
          <t>Width m</t>
        </is>
      </c>
      <c r="C17" s="1" t="inlineStr">
        <is>
          <t>Length m</t>
        </is>
      </c>
      <c r="D17" s="1" t="inlineStr">
        <is>
          <t>Ceiling</t>
        </is>
      </c>
      <c r="E17" s="1" t="inlineStr">
        <is>
          <t>Glazing</t>
        </is>
      </c>
      <c r="F17" s="1" t="inlineStr">
        <is>
          <t>Roof room</t>
        </is>
      </c>
      <c r="G17" s="1" t="inlineStr">
        <is>
          <t>People</t>
        </is>
      </c>
      <c r="H17" s="1" t="inlineStr">
        <is>
          <t>Room use</t>
        </is>
      </c>
      <c r="I17" s="1" t="inlineStr">
        <is>
          <t>Area m2</t>
        </is>
      </c>
      <c r="J17" s="1" t="inlineStr">
        <is>
          <t>Load kW</t>
        </is>
      </c>
      <c r="K17" s="1" t="inlineStr">
        <is>
          <t>Unit kW</t>
        </is>
      </c>
      <c r="L17" s="1" t="inlineStr">
        <is>
          <t>Guide GBP</t>
        </is>
      </c>
    </row>
    <row r="18">
      <c r="A18" s="3" t="inlineStr">
        <is>
          <t>Main bedroom</t>
        </is>
      </c>
      <c r="B18" s="3">
        <v>3.6</v>
      </c>
      <c r="C18" s="3">
        <v>4.2</v>
      </c>
      <c r="D18" s="3" t="inlineStr">
        <is>
          <t>Standard</t>
        </is>
      </c>
      <c r="E18" s="3" t="inlineStr">
        <is>
          <t>Average</t>
        </is>
      </c>
      <c r="F18" s="3" t="inlineStr">
        <is>
          <t>n</t>
        </is>
      </c>
      <c r="G18" s="3">
        <v>2</v>
      </c>
      <c r="H18" s="3" t="inlineStr">
        <is>
          <t>Bedroom</t>
        </is>
      </c>
      <c r="I18" s="0">
        <f>IF(B18="","",ROUND(B18*C18,1))</f>
      </c>
      <c r="J18" s="0">
        <f>IF(B18="","",ROUND((B18*C18*0.155)*IF(D18="High",1.12,IF(D18="Vaulted",1.26,1))*IF(E18="Shaded",0.95,IF(E18="Sunny",1.2,IF(E18="Bifolds",1.35,1)))*IF(LOWER(F18)="y",1.2,1)+MAX(0,G18-2)*0.1+IF(H18="Kitchen",0.5,IF(H18="Office",0.4,IF(H18="Gym",0.9,IF(H18="Server",1.4,0)))),2))</f>
      </c>
      <c r="K18" s="0">
        <f>IF(J18="","",IF(J18&lt;=2.0,2.0,IF(J18&lt;=2.5,2.5,IF(J18&lt;=3.5,3.5,IF(J18&lt;=5.0,5.0,IF(J18&lt;=6.0,6.0,IF(J18&lt;=7.1,7.1,"two units")))))))</f>
      </c>
      <c r="L18" s="6">
        <f>IF(J18="","",IF(J18&lt;=2.0,1650,IF(J18&lt;=2.5,1650,IF(J18&lt;=3.5,1995,IF(J18&lt;=5.0,2280,IF(J18&lt;=6.0,2650,IF(J18&lt;=7.1,2950,"")))))))</f>
      </c>
    </row>
    <row r="19">
      <c r="A19" s="3" t="inlineStr">
        <is>
          <t>Lounge</t>
        </is>
      </c>
      <c r="B19" s="3">
        <v>4.2</v>
      </c>
      <c r="C19" s="3">
        <v>5.4</v>
      </c>
      <c r="D19" s="3" t="inlineStr">
        <is>
          <t>High</t>
        </is>
      </c>
      <c r="E19" s="3" t="inlineStr">
        <is>
          <t>Sunny</t>
        </is>
      </c>
      <c r="F19" s="3" t="inlineStr">
        <is>
          <t>n</t>
        </is>
      </c>
      <c r="G19" s="3">
        <v>4</v>
      </c>
      <c r="H19" s="3" t="inlineStr">
        <is>
          <t>Bedroom</t>
        </is>
      </c>
      <c r="I19" s="0">
        <f>IF(B19="","",ROUND(B19*C19,1))</f>
      </c>
      <c r="J19" s="0">
        <f>IF(B19="","",ROUND((B19*C19*0.155)*IF(D19="High",1.12,IF(D19="Vaulted",1.26,1))*IF(E19="Shaded",0.95,IF(E19="Sunny",1.2,IF(E19="Bifolds",1.35,1)))*IF(LOWER(F19)="y",1.2,1)+MAX(0,G19-2)*0.1+IF(H19="Kitchen",0.5,IF(H19="Office",0.4,IF(H19="Gym",0.9,IF(H19="Server",1.4,0)))),2))</f>
      </c>
      <c r="K19" s="0">
        <f>IF(J19="","",IF(J19&lt;=2.0,2.0,IF(J19&lt;=2.5,2.5,IF(J19&lt;=3.5,3.5,IF(J19&lt;=5.0,5.0,IF(J19&lt;=6.0,6.0,IF(J19&lt;=7.1,7.1,"two units")))))))</f>
      </c>
      <c r="L19" s="6">
        <f>IF(J19="","",IF(J19&lt;=2.0,1650,IF(J19&lt;=2.5,1650,IF(J19&lt;=3.5,1995,IF(J19&lt;=5.0,2280,IF(J19&lt;=6.0,2650,IF(J19&lt;=7.1,2950,"")))))))</f>
      </c>
    </row>
    <row r="20">
      <c r="A20" s="3" t="inlineStr">
        <is>
          <t>Loft office</t>
        </is>
      </c>
      <c r="B20" s="3">
        <v>3.0</v>
      </c>
      <c r="C20" s="3">
        <v>3.8</v>
      </c>
      <c r="D20" s="3" t="inlineStr">
        <is>
          <t>Vaulted</t>
        </is>
      </c>
      <c r="E20" s="3" t="inlineStr">
        <is>
          <t>Average</t>
        </is>
      </c>
      <c r="F20" s="3" t="inlineStr">
        <is>
          <t>y</t>
        </is>
      </c>
      <c r="G20" s="3">
        <v>1</v>
      </c>
      <c r="H20" s="3" t="inlineStr">
        <is>
          <t>Office</t>
        </is>
      </c>
      <c r="I20" s="0">
        <f>IF(B20="","",ROUND(B20*C20,1))</f>
      </c>
      <c r="J20" s="0">
        <f>IF(B20="","",ROUND((B20*C20*0.155)*IF(D20="High",1.12,IF(D20="Vaulted",1.26,1))*IF(E20="Shaded",0.95,IF(E20="Sunny",1.2,IF(E20="Bifolds",1.35,1)))*IF(LOWER(F20)="y",1.2,1)+MAX(0,G20-2)*0.1+IF(H20="Kitchen",0.5,IF(H20="Office",0.4,IF(H20="Gym",0.9,IF(H20="Server",1.4,0)))),2))</f>
      </c>
      <c r="K20" s="0">
        <f>IF(J20="","",IF(J20&lt;=2.0,2.0,IF(J20&lt;=2.5,2.5,IF(J20&lt;=3.5,3.5,IF(J20&lt;=5.0,5.0,IF(J20&lt;=6.0,6.0,IF(J20&lt;=7.1,7.1,"two units")))))))</f>
      </c>
      <c r="L20" s="6">
        <f>IF(J20="","",IF(J20&lt;=2.0,1650,IF(J20&lt;=2.5,1650,IF(J20&lt;=3.5,1995,IF(J20&lt;=5.0,2280,IF(J20&lt;=6.0,2650,IF(J20&lt;=7.1,2950,"")))))))</f>
      </c>
    </row>
    <row r="21">
      <c r="A21" s="3"/>
      <c r="B21" s="3"/>
      <c r="C21" s="3"/>
      <c r="D21" s="3"/>
      <c r="E21" s="3"/>
      <c r="F21" s="3"/>
      <c r="G21" s="3"/>
      <c r="H21" s="3"/>
      <c r="I21" s="0">
        <f>IF(B21="","",ROUND(B21*C21,1))</f>
      </c>
      <c r="J21" s="0">
        <f>IF(B21="","",ROUND((B21*C21*0.155)*IF(D21="High",1.12,IF(D21="Vaulted",1.26,1))*IF(E21="Shaded",0.95,IF(E21="Sunny",1.2,IF(E21="Bifolds",1.35,1)))*IF(LOWER(F21)="y",1.2,1)+MAX(0,G21-2)*0.1+IF(H21="Kitchen",0.5,IF(H21="Office",0.4,IF(H21="Gym",0.9,IF(H21="Server",1.4,0)))),2))</f>
      </c>
      <c r="K21" s="0">
        <f>IF(J21="","",IF(J21&lt;=2.0,2.0,IF(J21&lt;=2.5,2.5,IF(J21&lt;=3.5,3.5,IF(J21&lt;=5.0,5.0,IF(J21&lt;=6.0,6.0,IF(J21&lt;=7.1,7.1,"two units")))))))</f>
      </c>
      <c r="L21" s="6">
        <f>IF(J21="","",IF(J21&lt;=2.0,1650,IF(J21&lt;=2.5,1650,IF(J21&lt;=3.5,1995,IF(J21&lt;=5.0,2280,IF(J21&lt;=6.0,2650,IF(J21&lt;=7.1,2950,"")))))))</f>
      </c>
    </row>
    <row r="22">
      <c r="A22" s="3"/>
      <c r="B22" s="3"/>
      <c r="C22" s="3"/>
      <c r="D22" s="3"/>
      <c r="E22" s="3"/>
      <c r="F22" s="3"/>
      <c r="G22" s="3"/>
      <c r="H22" s="3"/>
      <c r="I22" s="0">
        <f>IF(B22="","",ROUND(B22*C22,1))</f>
      </c>
      <c r="J22" s="0">
        <f>IF(B22="","",ROUND((B22*C22*0.155)*IF(D22="High",1.12,IF(D22="Vaulted",1.26,1))*IF(E22="Shaded",0.95,IF(E22="Sunny",1.2,IF(E22="Bifolds",1.35,1)))*IF(LOWER(F22)="y",1.2,1)+MAX(0,G22-2)*0.1+IF(H22="Kitchen",0.5,IF(H22="Office",0.4,IF(H22="Gym",0.9,IF(H22="Server",1.4,0)))),2))</f>
      </c>
      <c r="K22" s="0">
        <f>IF(J22="","",IF(J22&lt;=2.0,2.0,IF(J22&lt;=2.5,2.5,IF(J22&lt;=3.5,3.5,IF(J22&lt;=5.0,5.0,IF(J22&lt;=6.0,6.0,IF(J22&lt;=7.1,7.1,"two units")))))))</f>
      </c>
      <c r="L22" s="6">
        <f>IF(J22="","",IF(J22&lt;=2.0,1650,IF(J22&lt;=2.5,1650,IF(J22&lt;=3.5,1995,IF(J22&lt;=5.0,2280,IF(J22&lt;=6.0,2650,IF(J22&lt;=7.1,2950,"")))))))</f>
      </c>
    </row>
    <row r="23">
      <c r="A23" s="3"/>
      <c r="B23" s="3"/>
      <c r="C23" s="3"/>
      <c r="D23" s="3"/>
      <c r="E23" s="3"/>
      <c r="F23" s="3"/>
      <c r="G23" s="3"/>
      <c r="H23" s="3"/>
      <c r="I23" s="0">
        <f>IF(B23="","",ROUND(B23*C23,1))</f>
      </c>
      <c r="J23" s="0">
        <f>IF(B23="","",ROUND((B23*C23*0.155)*IF(D23="High",1.12,IF(D23="Vaulted",1.26,1))*IF(E23="Shaded",0.95,IF(E23="Sunny",1.2,IF(E23="Bifolds",1.35,1)))*IF(LOWER(F23)="y",1.2,1)+MAX(0,G23-2)*0.1+IF(H23="Kitchen",0.5,IF(H23="Office",0.4,IF(H23="Gym",0.9,IF(H23="Server",1.4,0)))),2))</f>
      </c>
      <c r="K23" s="0">
        <f>IF(J23="","",IF(J23&lt;=2.0,2.0,IF(J23&lt;=2.5,2.5,IF(J23&lt;=3.5,3.5,IF(J23&lt;=5.0,5.0,IF(J23&lt;=6.0,6.0,IF(J23&lt;=7.1,7.1,"two units")))))))</f>
      </c>
      <c r="L23" s="6">
        <f>IF(J23="","",IF(J23&lt;=2.0,1650,IF(J23&lt;=2.5,1650,IF(J23&lt;=3.5,1995,IF(J23&lt;=5.0,2280,IF(J23&lt;=6.0,2650,IF(J23&lt;=7.1,2950,"")))))))</f>
      </c>
    </row>
    <row r="24">
      <c r="A24" s="3"/>
      <c r="B24" s="3"/>
      <c r="C24" s="3"/>
      <c r="D24" s="3"/>
      <c r="E24" s="3"/>
      <c r="F24" s="3"/>
      <c r="G24" s="3"/>
      <c r="H24" s="3"/>
      <c r="I24" s="0">
        <f>IF(B24="","",ROUND(B24*C24,1))</f>
      </c>
      <c r="J24" s="0">
        <f>IF(B24="","",ROUND((B24*C24*0.155)*IF(D24="High",1.12,IF(D24="Vaulted",1.26,1))*IF(E24="Shaded",0.95,IF(E24="Sunny",1.2,IF(E24="Bifolds",1.35,1)))*IF(LOWER(F24)="y",1.2,1)+MAX(0,G24-2)*0.1+IF(H24="Kitchen",0.5,IF(H24="Office",0.4,IF(H24="Gym",0.9,IF(H24="Server",1.4,0)))),2))</f>
      </c>
      <c r="K24" s="0">
        <f>IF(J24="","",IF(J24&lt;=2.0,2.0,IF(J24&lt;=2.5,2.5,IF(J24&lt;=3.5,3.5,IF(J24&lt;=5.0,5.0,IF(J24&lt;=6.0,6.0,IF(J24&lt;=7.1,7.1,"two units")))))))</f>
      </c>
      <c r="L24" s="6">
        <f>IF(J24="","",IF(J24&lt;=2.0,1650,IF(J24&lt;=2.5,1650,IF(J24&lt;=3.5,1995,IF(J24&lt;=5.0,2280,IF(J24&lt;=6.0,2650,IF(J24&lt;=7.1,2950,"")))))))</f>
      </c>
    </row>
    <row r="25">
      <c r="A25" s="3"/>
      <c r="B25" s="3"/>
      <c r="C25" s="3"/>
      <c r="D25" s="3"/>
      <c r="E25" s="3"/>
      <c r="F25" s="3"/>
      <c r="G25" s="3"/>
      <c r="H25" s="3"/>
      <c r="I25" s="0">
        <f>IF(B25="","",ROUND(B25*C25,1))</f>
      </c>
      <c r="J25" s="0">
        <f>IF(B25="","",ROUND((B25*C25*0.155)*IF(D25="High",1.12,IF(D25="Vaulted",1.26,1))*IF(E25="Shaded",0.95,IF(E25="Sunny",1.2,IF(E25="Bifolds",1.35,1)))*IF(LOWER(F25)="y",1.2,1)+MAX(0,G25-2)*0.1+IF(H25="Kitchen",0.5,IF(H25="Office",0.4,IF(H25="Gym",0.9,IF(H25="Server",1.4,0)))),2))</f>
      </c>
      <c r="K25" s="0">
        <f>IF(J25="","",IF(J25&lt;=2.0,2.0,IF(J25&lt;=2.5,2.5,IF(J25&lt;=3.5,3.5,IF(J25&lt;=5.0,5.0,IF(J25&lt;=6.0,6.0,IF(J25&lt;=7.1,7.1,"two units")))))))</f>
      </c>
      <c r="L25" s="6">
        <f>IF(J25="","",IF(J25&lt;=2.0,1650,IF(J25&lt;=2.5,1650,IF(J25&lt;=3.5,1995,IF(J25&lt;=5.0,2280,IF(J25&lt;=6.0,2650,IF(J25&lt;=7.1,2950,"")))))))</f>
      </c>
    </row>
    <row r="26">
      <c r="A26" s="3"/>
      <c r="B26" s="3"/>
      <c r="C26" s="3"/>
      <c r="D26" s="3"/>
      <c r="E26" s="3"/>
      <c r="F26" s="3"/>
      <c r="G26" s="3"/>
      <c r="H26" s="3"/>
      <c r="I26" s="0">
        <f>IF(B26="","",ROUND(B26*C26,1))</f>
      </c>
      <c r="J26" s="0">
        <f>IF(B26="","",ROUND((B26*C26*0.155)*IF(D26="High",1.12,IF(D26="Vaulted",1.26,1))*IF(E26="Shaded",0.95,IF(E26="Sunny",1.2,IF(E26="Bifolds",1.35,1)))*IF(LOWER(F26)="y",1.2,1)+MAX(0,G26-2)*0.1+IF(H26="Kitchen",0.5,IF(H26="Office",0.4,IF(H26="Gym",0.9,IF(H26="Server",1.4,0)))),2))</f>
      </c>
      <c r="K26" s="0">
        <f>IF(J26="","",IF(J26&lt;=2.0,2.0,IF(J26&lt;=2.5,2.5,IF(J26&lt;=3.5,3.5,IF(J26&lt;=5.0,5.0,IF(J26&lt;=6.0,6.0,IF(J26&lt;=7.1,7.1,"two units")))))))</f>
      </c>
      <c r="L26" s="6">
        <f>IF(J26="","",IF(J26&lt;=2.0,1650,IF(J26&lt;=2.5,1650,IF(J26&lt;=3.5,1995,IF(J26&lt;=5.0,2280,IF(J26&lt;=6.0,2650,IF(J26&lt;=7.1,2950,"")))))))</f>
      </c>
    </row>
    <row r="27">
      <c r="A27" s="3"/>
      <c r="B27" s="3"/>
      <c r="C27" s="3"/>
      <c r="D27" s="3"/>
      <c r="E27" s="3"/>
      <c r="F27" s="3"/>
      <c r="G27" s="3"/>
      <c r="H27" s="3"/>
      <c r="I27" s="0">
        <f>IF(B27="","",ROUND(B27*C27,1))</f>
      </c>
      <c r="J27" s="0">
        <f>IF(B27="","",ROUND((B27*C27*0.155)*IF(D27="High",1.12,IF(D27="Vaulted",1.26,1))*IF(E27="Shaded",0.95,IF(E27="Sunny",1.2,IF(E27="Bifolds",1.35,1)))*IF(LOWER(F27)="y",1.2,1)+MAX(0,G27-2)*0.1+IF(H27="Kitchen",0.5,IF(H27="Office",0.4,IF(H27="Gym",0.9,IF(H27="Server",1.4,0)))),2))</f>
      </c>
      <c r="K27" s="0">
        <f>IF(J27="","",IF(J27&lt;=2.0,2.0,IF(J27&lt;=2.5,2.5,IF(J27&lt;=3.5,3.5,IF(J27&lt;=5.0,5.0,IF(J27&lt;=6.0,6.0,IF(J27&lt;=7.1,7.1,"two units")))))))</f>
      </c>
      <c r="L27" s="6">
        <f>IF(J27="","",IF(J27&lt;=2.0,1650,IF(J27&lt;=2.5,1650,IF(J27&lt;=3.5,1995,IF(J27&lt;=5.0,2280,IF(J27&lt;=6.0,2650,IF(J27&lt;=7.1,2950,"")))))))</f>
      </c>
    </row>
    <row r="28">
      <c r="A28" s="3"/>
      <c r="B28" s="3"/>
      <c r="C28" s="3"/>
      <c r="D28" s="3"/>
      <c r="E28" s="3"/>
      <c r="F28" s="3"/>
      <c r="G28" s="3"/>
      <c r="H28" s="3"/>
      <c r="I28" s="0">
        <f>IF(B28="","",ROUND(B28*C28,1))</f>
      </c>
      <c r="J28" s="0">
        <f>IF(B28="","",ROUND((B28*C28*0.155)*IF(D28="High",1.12,IF(D28="Vaulted",1.26,1))*IF(E28="Shaded",0.95,IF(E28="Sunny",1.2,IF(E28="Bifolds",1.35,1)))*IF(LOWER(F28)="y",1.2,1)+MAX(0,G28-2)*0.1+IF(H28="Kitchen",0.5,IF(H28="Office",0.4,IF(H28="Gym",0.9,IF(H28="Server",1.4,0)))),2))</f>
      </c>
      <c r="K28" s="0">
        <f>IF(J28="","",IF(J28&lt;=2.0,2.0,IF(J28&lt;=2.5,2.5,IF(J28&lt;=3.5,3.5,IF(J28&lt;=5.0,5.0,IF(J28&lt;=6.0,6.0,IF(J28&lt;=7.1,7.1,"two units")))))))</f>
      </c>
      <c r="L28" s="6">
        <f>IF(J28="","",IF(J28&lt;=2.0,1650,IF(J28&lt;=2.5,1650,IF(J28&lt;=3.5,1995,IF(J28&lt;=5.0,2280,IF(J28&lt;=6.0,2650,IF(J28&lt;=7.1,2950,"")))))))</f>
      </c>
    </row>
    <row r="29">
      <c r="A29" s="3"/>
      <c r="B29" s="3"/>
      <c r="C29" s="3"/>
      <c r="D29" s="3"/>
      <c r="E29" s="3"/>
      <c r="F29" s="3"/>
      <c r="G29" s="3"/>
      <c r="H29" s="3"/>
      <c r="I29" s="0">
        <f>IF(B29="","",ROUND(B29*C29,1))</f>
      </c>
      <c r="J29" s="0">
        <f>IF(B29="","",ROUND((B29*C29*0.155)*IF(D29="High",1.12,IF(D29="Vaulted",1.26,1))*IF(E29="Shaded",0.95,IF(E29="Sunny",1.2,IF(E29="Bifolds",1.35,1)))*IF(LOWER(F29)="y",1.2,1)+MAX(0,G29-2)*0.1+IF(H29="Kitchen",0.5,IF(H29="Office",0.4,IF(H29="Gym",0.9,IF(H29="Server",1.4,0)))),2))</f>
      </c>
      <c r="K29" s="0">
        <f>IF(J29="","",IF(J29&lt;=2.0,2.0,IF(J29&lt;=2.5,2.5,IF(J29&lt;=3.5,3.5,IF(J29&lt;=5.0,5.0,IF(J29&lt;=6.0,6.0,IF(J29&lt;=7.1,7.1,"two units")))))))</f>
      </c>
      <c r="L29" s="6">
        <f>IF(J29="","",IF(J29&lt;=2.0,1650,IF(J29&lt;=2.5,1650,IF(J29&lt;=3.5,1995,IF(J29&lt;=5.0,2280,IF(J29&lt;=6.0,2650,IF(J29&lt;=7.1,2950,"")))))))</f>
      </c>
    </row>
    <row r="30">
      <c r="A30" s="0"/>
      <c r="B30" s="0"/>
      <c r="C30" s="0"/>
      <c r="D30" s="0"/>
      <c r="E30" s="0"/>
      <c r="F30" s="0"/>
      <c r="G30" s="0"/>
      <c r="H30" s="1" t="inlineStr">
        <is>
          <t>Total load</t>
        </is>
      </c>
      <c r="I30" s="1">
        <f>IF(COUNT(J18:J29)=0,"",ROUND(SUM(J18:J29),1))</f>
      </c>
      <c r="J30" s="5" t="inlineStr">
        <is>
          <t>kW</t>
        </is>
      </c>
    </row>
    <row r="31"/>
    <row r="32">
      <c r="A32" s="1" t="inlineStr">
        <is>
          <t>Careful with the money column</t>
        </is>
      </c>
    </row>
    <row r="33">
      <c r="A33" s="5" t="inlineStr">
        <is>
          <t>Guide prices are one wall unit installed in one room.</t>
        </is>
      </c>
    </row>
    <row r="34">
      <c r="A34" s="5" t="inlineStr">
        <is>
          <t>Do not add them up for a house. Several rooms on one condenser is a multi split,</t>
        </is>
      </c>
    </row>
    <row r="35">
      <c r="A35" s="5" t="inlineStr">
        <is>
          <t>which starts at 3450 and is priced after a survey.</t>
        </is>
      </c>
    </row>
    <row r="36">
      <c r="A36" s="5" t="inlineStr">
        <is>
          <t>Total load is the figure that matters there, for sizing the condenser.</t>
        </is>
      </c>
    </row>
  </sheetData>
</worksheet>
</file>